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coolw\source\repos\RefCodes\Python\xlwings\simulation\"/>
    </mc:Choice>
  </mc:AlternateContent>
  <bookViews>
    <workbookView xWindow="-1605" yWindow="-20745" windowWidth="21270" windowHeight="12570"/>
  </bookViews>
  <sheets>
    <sheet name="Simulation" sheetId="1" r:id="rId1"/>
    <sheet name="LICENSE" sheetId="2" r:id="rId2"/>
  </sheets>
  <definedNames>
    <definedName name="n">Simulation!$R$3</definedName>
    <definedName name="single_cell">#REF!</definedName>
    <definedName name="test_range">#REF!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5" i="1" l="1"/>
  <c r="E10" i="1" s="1"/>
</calcChain>
</file>

<file path=xl/sharedStrings.xml><?xml version="1.0" encoding="utf-8"?>
<sst xmlns="http://schemas.openxmlformats.org/spreadsheetml/2006/main" count="41" uniqueCount="41">
  <si>
    <t>All rights reserved.</t>
  </si>
  <si>
    <t>This program makes use of the following free and open-source software:</t>
  </si>
  <si>
    <t>Python</t>
  </si>
  <si>
    <t>xlwings</t>
  </si>
  <si>
    <t>Their licenses are included in the LICENSE.txt file.</t>
  </si>
  <si>
    <t>Redistribution and use in source and binary forms, with or without modification,</t>
  </si>
  <si>
    <t>are permitted provided that the following conditions are met:</t>
  </si>
  <si>
    <t>* Redistributions of source code must retain the above copyright notice, this</t>
  </si>
  <si>
    <t xml:space="preserve">  list of conditions and the following disclaimer.</t>
  </si>
  <si>
    <t>* Redistributions in binary form must reproduce the above copyright notice, this</t>
  </si>
  <si>
    <t xml:space="preserve">  list of conditions and the following disclaimer in the documentation and/or</t>
  </si>
  <si>
    <t xml:space="preserve">  other materials provided with the distribution.</t>
  </si>
  <si>
    <t>* Neither the name of the copyright holder nor the names of its</t>
  </si>
  <si>
    <t xml:space="preserve">  contributors may be used to endorse or promote products derived from</t>
  </si>
  <si>
    <t xml:space="preserve">  this software without specific prior written permission.</t>
  </si>
  <si>
    <t>THIS SOFTWARE IS PROVIDED BY THE COPYRIGHT HOLDERS AND CONTRIBUTORS "AS IS" AND</t>
  </si>
  <si>
    <t>ANY EXPRESS OR IMPLIED WARRANTIES, INCLUDING, BUT NOT LIMITED TO, THE IMPLIED</t>
  </si>
  <si>
    <t>WARRANTIES OF MERCHANTABILITY AND FITNESS FOR A PARTICULAR PURPOSE ARE</t>
  </si>
  <si>
    <t>DISCLAIMED. IN NO EVENT SHALL THE COPYRIGHT HOLDER OR CONTRIBUTORS BE LIABLE FOR</t>
  </si>
  <si>
    <t>ANY DIRECT, INDIRECT, INCIDENTAL, SPECIAL, EXEMPLARY, OR CONSEQUENTIAL DAMAGES</t>
  </si>
  <si>
    <t>(INCLUDING, BUT NOT LIMITED TO, PROCUREMENT OF SUBSTITUTE GOODS OR SERVICES;</t>
  </si>
  <si>
    <t>LOSS OF USE, DATA, OR PROFITS; OR BUSINESS INTERRUPTION) HOWEVER CAUSED AND ON</t>
  </si>
  <si>
    <t>ANY THEORY OF LIABILITY, WHETHER IN CONTRACT, STRICT LIABILITY, OR TORT</t>
  </si>
  <si>
    <t>(INCLUDING NEGLIGENCE OR OTHERWISE) ARISING IN ANY WAY OUT OF THE USE OF THIS</t>
  </si>
  <si>
    <t>SOFTWARE, EVEN IF ADVISED OF THE POSSIBILITY OF SUCH DAMAGE.</t>
  </si>
  <si>
    <t>Median</t>
  </si>
  <si>
    <t>Sample Path</t>
  </si>
  <si>
    <t>Number of Simulations:</t>
  </si>
  <si>
    <t>Number of Time Steps:</t>
  </si>
  <si>
    <t>Expected Simple Return:</t>
  </si>
  <si>
    <t>Standard Deviation of Log Returns:</t>
  </si>
  <si>
    <t>5th Percentile</t>
  </si>
  <si>
    <t>95th Percentile</t>
  </si>
  <si>
    <t>Starting Price:</t>
  </si>
  <si>
    <t>Time Horizon (Years):</t>
  </si>
  <si>
    <t>NumPy</t>
  </si>
  <si>
    <t>Animated Simulation (YES/NO):</t>
  </si>
  <si>
    <t>NO</t>
  </si>
  <si>
    <t># of random numbers:</t>
  </si>
  <si>
    <t>Copyright (C) 2014-2015, Zoomer Analytics LLC.</t>
  </si>
  <si>
    <t>simulation.xlsm is distributed under a BSD 3-Clause License: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</si>
</sst>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_(* #,##0_);_(* \(#,##0\);_(* &quot;-&quot;??_);_(@_)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33333"/>
      <name val="Consolas"/>
      <family val="3"/>
    </font>
    <font>
      <sz val="9"/>
      <color rgb="FF333333"/>
      <name val="Consolas"/>
      <family val="3"/>
    </font>
    <font>
      <sz val="10"/>
      <color theme="1"/>
      <name val="Consolas"/>
      <family val="3"/>
    </font>
    <font>
      <b/>
      <sz val="14"/>
      <color rgb="FF000000"/>
      <name val="Calibri"/>
      <family val="2"/>
    </font>
    <font>
      <sz val="11"/>
      <color theme="0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164" fontId="9" fillId="0" borderId="0" applyFont="0" applyFill="0" applyBorder="0" applyAlignment="0" applyProtection="0"/>
  </cellStyleXfs>
  <cellXfs count="21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Border="1"/>
    <xf numFmtId="0" fontId="3" fillId="0" borderId="0" xfId="0" applyFont="1"/>
    <xf numFmtId="0" fontId="4" fillId="0" borderId="0" xfId="0" applyFont="1"/>
    <xf numFmtId="0" fontId="0" fillId="0" borderId="0" xfId="0" applyAlignment="1">
      <alignment horizontal="right"/>
    </xf>
    <xf numFmtId="0" fontId="0" fillId="2" borderId="1" xfId="0" applyFill="1" applyBorder="1"/>
    <xf numFmtId="0" fontId="0" fillId="0" borderId="0" xfId="0" applyFill="1" applyBorder="1" applyAlignment="1">
      <alignment horizontal="right"/>
    </xf>
    <xf numFmtId="3" fontId="0" fillId="2" borderId="1" xfId="0" applyNumberFormat="1" applyFill="1" applyBorder="1"/>
    <xf numFmtId="10" fontId="0" fillId="2" borderId="1" xfId="0" applyNumberFormat="1" applyFill="1" applyBorder="1"/>
    <xf numFmtId="0" fontId="6" fillId="0" borderId="0" xfId="0" applyFont="1"/>
    <xf numFmtId="0" fontId="0" fillId="0" borderId="0" xfId="0" applyNumberFormat="1" applyAlignment="1">
      <alignment wrapText="1"/>
    </xf>
    <xf numFmtId="0" fontId="6" fillId="0" borderId="0" xfId="0" applyNumberFormat="1" applyFont="1" applyAlignment="1">
      <alignment wrapText="1"/>
    </xf>
    <xf numFmtId="0" fontId="7" fillId="0" borderId="0" xfId="0" applyNumberFormat="1" applyFont="1" applyAlignment="1">
      <alignment wrapText="1"/>
    </xf>
    <xf numFmtId="0" fontId="7" fillId="0" borderId="0" xfId="0" applyNumberFormat="1" applyFont="1" applyAlignment="1">
      <alignment horizontal="center" wrapText="1"/>
    </xf>
    <xf numFmtId="0" fontId="7" fillId="0" borderId="0" xfId="0" applyNumberFormat="1" applyFont="1"/>
    <xf numFmtId="2" fontId="8" fillId="0" borderId="0" xfId="0" applyNumberFormat="1" applyFont="1" applyAlignment="1">
      <alignment horizontal="center"/>
    </xf>
    <xf numFmtId="0" fontId="0" fillId="2" borderId="1" xfId="0" applyFill="1" applyBorder="1" applyAlignment="1">
      <alignment horizontal="right"/>
    </xf>
    <xf numFmtId="0" fontId="6" fillId="0" borderId="0" xfId="0" applyFont="1" applyFill="1" applyBorder="1" applyAlignment="1">
      <alignment horizontal="right"/>
    </xf>
    <xf numFmtId="165" fontId="6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Simulation!$P$1</c:f>
              <c:strCache>
                <c:ptCount val="1"/>
                <c:pt idx="0">
                  <c:v>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cat>
          <c:val>
            <c:numRef>
              <c:f>Simulation!$P$2:$P$42</c:f>
              <c:numCache>
                <c:formatCode>0.00</c:formatCode>
                <c:ptCount val="41"/>
                <c:pt idx="0">
                  <c:v>100</c:v>
                </c:pt>
                <c:pt idx="1">
                  <c:v>86.494581223263978</c:v>
                </c:pt>
                <c:pt idx="2">
                  <c:v>82.212319370279133</c:v>
                </c:pt>
                <c:pt idx="3">
                  <c:v>78.809601463771969</c:v>
                </c:pt>
                <c:pt idx="4">
                  <c:v>76.480935430684482</c:v>
                </c:pt>
                <c:pt idx="5">
                  <c:v>73.90905519688701</c:v>
                </c:pt>
                <c:pt idx="6">
                  <c:v>71.70288744379323</c:v>
                </c:pt>
                <c:pt idx="7">
                  <c:v>70.204509532508112</c:v>
                </c:pt>
                <c:pt idx="8">
                  <c:v>68.960668021063043</c:v>
                </c:pt>
                <c:pt idx="9">
                  <c:v>67.402597238157298</c:v>
                </c:pt>
                <c:pt idx="10">
                  <c:v>66.17108014974913</c:v>
                </c:pt>
                <c:pt idx="11">
                  <c:v>64.60263839616978</c:v>
                </c:pt>
                <c:pt idx="12">
                  <c:v>63.782578960572984</c:v>
                </c:pt>
                <c:pt idx="13">
                  <c:v>62.865871200785399</c:v>
                </c:pt>
                <c:pt idx="14">
                  <c:v>62.114524590675195</c:v>
                </c:pt>
                <c:pt idx="15">
                  <c:v>61.184010716439474</c:v>
                </c:pt>
                <c:pt idx="16">
                  <c:v>60.459608678220235</c:v>
                </c:pt>
                <c:pt idx="17">
                  <c:v>59.924767685814544</c:v>
                </c:pt>
                <c:pt idx="18">
                  <c:v>59.114684659895076</c:v>
                </c:pt>
                <c:pt idx="19">
                  <c:v>58.555945877270339</c:v>
                </c:pt>
                <c:pt idx="20">
                  <c:v>58.429885628986746</c:v>
                </c:pt>
                <c:pt idx="21">
                  <c:v>58.172713717212119</c:v>
                </c:pt>
                <c:pt idx="22">
                  <c:v>57.520524232514617</c:v>
                </c:pt>
                <c:pt idx="23">
                  <c:v>56.785946202588882</c:v>
                </c:pt>
                <c:pt idx="24">
                  <c:v>56.015460583266957</c:v>
                </c:pt>
                <c:pt idx="25">
                  <c:v>55.706874352283478</c:v>
                </c:pt>
                <c:pt idx="26">
                  <c:v>55.053315076113378</c:v>
                </c:pt>
                <c:pt idx="27">
                  <c:v>54.481916199201848</c:v>
                </c:pt>
                <c:pt idx="28">
                  <c:v>54.050124940938296</c:v>
                </c:pt>
                <c:pt idx="29">
                  <c:v>53.639315610523568</c:v>
                </c:pt>
                <c:pt idx="30">
                  <c:v>52.475248157712009</c:v>
                </c:pt>
                <c:pt idx="31">
                  <c:v>52.418451287195921</c:v>
                </c:pt>
                <c:pt idx="32">
                  <c:v>52.243603545022744</c:v>
                </c:pt>
                <c:pt idx="33">
                  <c:v>52.056784190076769</c:v>
                </c:pt>
                <c:pt idx="34">
                  <c:v>51.389384983528451</c:v>
                </c:pt>
                <c:pt idx="35">
                  <c:v>51.071645477421313</c:v>
                </c:pt>
                <c:pt idx="36">
                  <c:v>50.718530005700956</c:v>
                </c:pt>
                <c:pt idx="37">
                  <c:v>50.902255543314602</c:v>
                </c:pt>
                <c:pt idx="38">
                  <c:v>50.159489995829361</c:v>
                </c:pt>
                <c:pt idx="39">
                  <c:v>50.065482198427461</c:v>
                </c:pt>
                <c:pt idx="40">
                  <c:v>49.87912685666771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C46-49B5-81DC-7D3C5787502A}"/>
            </c:ext>
          </c:extLst>
        </c:ser>
        <c:ser>
          <c:idx val="2"/>
          <c:order val="1"/>
          <c:tx>
            <c:strRef>
              <c:f>Simulation!$Q$1</c:f>
              <c:strCache>
                <c:ptCount val="1"/>
                <c:pt idx="0">
                  <c:v>Median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cat>
          <c:val>
            <c:numRef>
              <c:f>Simulation!$Q$2:$Q$42</c:f>
              <c:numCache>
                <c:formatCode>0.00</c:formatCode>
                <c:ptCount val="41"/>
                <c:pt idx="0">
                  <c:v>100</c:v>
                </c:pt>
                <c:pt idx="1">
                  <c:v>100.62596341846454</c:v>
                </c:pt>
                <c:pt idx="2">
                  <c:v>101.1172853058598</c:v>
                </c:pt>
                <c:pt idx="3">
                  <c:v>101.91434486442128</c:v>
                </c:pt>
                <c:pt idx="4">
                  <c:v>102.44731671057659</c:v>
                </c:pt>
                <c:pt idx="5">
                  <c:v>103.07717426940127</c:v>
                </c:pt>
                <c:pt idx="6">
                  <c:v>103.42195554278025</c:v>
                </c:pt>
                <c:pt idx="7">
                  <c:v>104.16147686135949</c:v>
                </c:pt>
                <c:pt idx="8">
                  <c:v>104.84917124422481</c:v>
                </c:pt>
                <c:pt idx="9">
                  <c:v>105.32436109145829</c:v>
                </c:pt>
                <c:pt idx="10">
                  <c:v>106.1262690348054</c:v>
                </c:pt>
                <c:pt idx="11">
                  <c:v>107.10556277724987</c:v>
                </c:pt>
                <c:pt idx="12">
                  <c:v>107.4527106048435</c:v>
                </c:pt>
                <c:pt idx="13">
                  <c:v>108.13086591150254</c:v>
                </c:pt>
                <c:pt idx="14">
                  <c:v>108.75687940317621</c:v>
                </c:pt>
                <c:pt idx="15">
                  <c:v>109.27994465972269</c:v>
                </c:pt>
                <c:pt idx="16">
                  <c:v>109.56492537141179</c:v>
                </c:pt>
                <c:pt idx="17">
                  <c:v>110.58563370365219</c:v>
                </c:pt>
                <c:pt idx="18">
                  <c:v>111.28631367644238</c:v>
                </c:pt>
                <c:pt idx="19">
                  <c:v>111.72000262124408</c:v>
                </c:pt>
                <c:pt idx="20">
                  <c:v>112.56379916728028</c:v>
                </c:pt>
                <c:pt idx="21">
                  <c:v>112.68608730026725</c:v>
                </c:pt>
                <c:pt idx="22">
                  <c:v>114.12969697300178</c:v>
                </c:pt>
                <c:pt idx="23">
                  <c:v>114.35126320517813</c:v>
                </c:pt>
                <c:pt idx="24">
                  <c:v>115.00625065354473</c:v>
                </c:pt>
                <c:pt idx="25">
                  <c:v>115.68792474313172</c:v>
                </c:pt>
                <c:pt idx="26">
                  <c:v>116.41757003059035</c:v>
                </c:pt>
                <c:pt idx="27">
                  <c:v>117.14568981588337</c:v>
                </c:pt>
                <c:pt idx="28">
                  <c:v>117.95535081259069</c:v>
                </c:pt>
                <c:pt idx="29">
                  <c:v>118.53102123938972</c:v>
                </c:pt>
                <c:pt idx="30">
                  <c:v>119.64039751081542</c:v>
                </c:pt>
                <c:pt idx="31">
                  <c:v>120.53478645470487</c:v>
                </c:pt>
                <c:pt idx="32">
                  <c:v>121.51695242779843</c:v>
                </c:pt>
                <c:pt idx="33">
                  <c:v>122.2791925757821</c:v>
                </c:pt>
                <c:pt idx="34">
                  <c:v>122.95947764856763</c:v>
                </c:pt>
                <c:pt idx="35">
                  <c:v>123.66938640815829</c:v>
                </c:pt>
                <c:pt idx="36">
                  <c:v>124.6628309606682</c:v>
                </c:pt>
                <c:pt idx="37">
                  <c:v>125.0835986978646</c:v>
                </c:pt>
                <c:pt idx="38">
                  <c:v>126.20241756382617</c:v>
                </c:pt>
                <c:pt idx="39">
                  <c:v>126.6470218473812</c:v>
                </c:pt>
                <c:pt idx="40">
                  <c:v>127.17385385240182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C46-49B5-81DC-7D3C5787502A}"/>
            </c:ext>
          </c:extLst>
        </c:ser>
        <c:ser>
          <c:idx val="0"/>
          <c:order val="2"/>
          <c:tx>
            <c:strRef>
              <c:f>Simulation!$R$1</c:f>
              <c:strCache>
                <c:ptCount val="1"/>
                <c:pt idx="0">
                  <c:v>95th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cat>
          <c:val>
            <c:numRef>
              <c:f>Simulation!$R$2:$R$42</c:f>
              <c:numCache>
                <c:formatCode>0.00</c:formatCode>
                <c:ptCount val="41"/>
                <c:pt idx="0">
                  <c:v>100</c:v>
                </c:pt>
                <c:pt idx="1">
                  <c:v>116.63383518513857</c:v>
                </c:pt>
                <c:pt idx="2">
                  <c:v>124.64835263615119</c:v>
                </c:pt>
                <c:pt idx="3">
                  <c:v>131.98073550946722</c:v>
                </c:pt>
                <c:pt idx="4">
                  <c:v>137.2749350675652</c:v>
                </c:pt>
                <c:pt idx="5">
                  <c:v>143.25834703728185</c:v>
                </c:pt>
                <c:pt idx="6">
                  <c:v>149.08692322187034</c:v>
                </c:pt>
                <c:pt idx="7">
                  <c:v>153.50944348525564</c:v>
                </c:pt>
                <c:pt idx="8">
                  <c:v>159.62216246345915</c:v>
                </c:pt>
                <c:pt idx="9">
                  <c:v>164.49480653590888</c:v>
                </c:pt>
                <c:pt idx="10">
                  <c:v>169.64811752912735</c:v>
                </c:pt>
                <c:pt idx="11">
                  <c:v>175.20107181491713</c:v>
                </c:pt>
                <c:pt idx="12">
                  <c:v>180.31781160171283</c:v>
                </c:pt>
                <c:pt idx="13">
                  <c:v>185.88776182586653</c:v>
                </c:pt>
                <c:pt idx="14">
                  <c:v>191.337347388007</c:v>
                </c:pt>
                <c:pt idx="15">
                  <c:v>196.22904347673941</c:v>
                </c:pt>
                <c:pt idx="16">
                  <c:v>200.4432755472389</c:v>
                </c:pt>
                <c:pt idx="17">
                  <c:v>205.48985315953504</c:v>
                </c:pt>
                <c:pt idx="18">
                  <c:v>209.5661812092161</c:v>
                </c:pt>
                <c:pt idx="19">
                  <c:v>214.96876824533064</c:v>
                </c:pt>
                <c:pt idx="20">
                  <c:v>219.80511060257504</c:v>
                </c:pt>
                <c:pt idx="21">
                  <c:v>224.99036833174881</c:v>
                </c:pt>
                <c:pt idx="22">
                  <c:v>229.40896602853857</c:v>
                </c:pt>
                <c:pt idx="23">
                  <c:v>235.49190438264444</c:v>
                </c:pt>
                <c:pt idx="24">
                  <c:v>240.32242136985533</c:v>
                </c:pt>
                <c:pt idx="25">
                  <c:v>247.26538005927489</c:v>
                </c:pt>
                <c:pt idx="26">
                  <c:v>249.33230654122423</c:v>
                </c:pt>
                <c:pt idx="27">
                  <c:v>256.80041056484305</c:v>
                </c:pt>
                <c:pt idx="28">
                  <c:v>262.22332464973312</c:v>
                </c:pt>
                <c:pt idx="29">
                  <c:v>268.12529115886781</c:v>
                </c:pt>
                <c:pt idx="30">
                  <c:v>273.66019122466474</c:v>
                </c:pt>
                <c:pt idx="31">
                  <c:v>280.90637116550425</c:v>
                </c:pt>
                <c:pt idx="32">
                  <c:v>287.92886046729512</c:v>
                </c:pt>
                <c:pt idx="33">
                  <c:v>291.15443486776343</c:v>
                </c:pt>
                <c:pt idx="34">
                  <c:v>297.14552931863693</c:v>
                </c:pt>
                <c:pt idx="35">
                  <c:v>301.13527869945267</c:v>
                </c:pt>
                <c:pt idx="36">
                  <c:v>304.87532529569592</c:v>
                </c:pt>
                <c:pt idx="37">
                  <c:v>307.58076673960772</c:v>
                </c:pt>
                <c:pt idx="38">
                  <c:v>318.04947713227131</c:v>
                </c:pt>
                <c:pt idx="39">
                  <c:v>321.25369600523123</c:v>
                </c:pt>
                <c:pt idx="40">
                  <c:v>327.99478928272634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C46-49B5-81DC-7D3C5787502A}"/>
            </c:ext>
          </c:extLst>
        </c:ser>
        <c:ser>
          <c:idx val="3"/>
          <c:order val="3"/>
          <c:tx>
            <c:strRef>
              <c:f>Simulation!$S$1</c:f>
              <c:strCache>
                <c:ptCount val="1"/>
                <c:pt idx="0">
                  <c:v>Sample Path</c:v>
                </c:pt>
              </c:strCache>
            </c:strRef>
          </c:tx>
          <c:spPr>
            <a:ln>
              <a:solidFill>
                <a:srgbClr val="BFBFBF"/>
              </a:solidFill>
              <a:prstDash val="sysDash"/>
            </a:ln>
          </c:spPr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cat>
          <c:val>
            <c:numRef>
              <c:f>Simulation!$S$2:$S$42</c:f>
              <c:numCache>
                <c:formatCode>0.00</c:formatCode>
                <c:ptCount val="41"/>
                <c:pt idx="0">
                  <c:v>100</c:v>
                </c:pt>
                <c:pt idx="1">
                  <c:v>92.170569916699563</c:v>
                </c:pt>
                <c:pt idx="2">
                  <c:v>92.518657994269034</c:v>
                </c:pt>
                <c:pt idx="3">
                  <c:v>97.33671637750804</c:v>
                </c:pt>
                <c:pt idx="4">
                  <c:v>118.68982633704975</c:v>
                </c:pt>
                <c:pt idx="5">
                  <c:v>124.20202033834175</c:v>
                </c:pt>
                <c:pt idx="6">
                  <c:v>127.88305044394336</c:v>
                </c:pt>
                <c:pt idx="7">
                  <c:v>145.85914410066107</c:v>
                </c:pt>
                <c:pt idx="8">
                  <c:v>175.23402674329628</c:v>
                </c:pt>
                <c:pt idx="9">
                  <c:v>178.69632621408928</c:v>
                </c:pt>
                <c:pt idx="10">
                  <c:v>218.09800645080202</c:v>
                </c:pt>
                <c:pt idx="11">
                  <c:v>231.22123216510482</c:v>
                </c:pt>
                <c:pt idx="12">
                  <c:v>223.20084029425607</c:v>
                </c:pt>
                <c:pt idx="13">
                  <c:v>213.31539802413511</c:v>
                </c:pt>
                <c:pt idx="14">
                  <c:v>207.12124308317311</c:v>
                </c:pt>
                <c:pt idx="15">
                  <c:v>230.25984787718576</c:v>
                </c:pt>
                <c:pt idx="16">
                  <c:v>234.33846113469295</c:v>
                </c:pt>
                <c:pt idx="17">
                  <c:v>230.17928456944878</c:v>
                </c:pt>
                <c:pt idx="18">
                  <c:v>225.88526130822979</c:v>
                </c:pt>
                <c:pt idx="19">
                  <c:v>266.68851568734448</c:v>
                </c:pt>
                <c:pt idx="20">
                  <c:v>279.4430631968462</c:v>
                </c:pt>
                <c:pt idx="21">
                  <c:v>283.11140307461665</c:v>
                </c:pt>
                <c:pt idx="22">
                  <c:v>275.3810565696607</c:v>
                </c:pt>
                <c:pt idx="23">
                  <c:v>311.41352413901302</c:v>
                </c:pt>
                <c:pt idx="24">
                  <c:v>300.96604097139789</c:v>
                </c:pt>
                <c:pt idx="25">
                  <c:v>304.58892670715028</c:v>
                </c:pt>
                <c:pt idx="26">
                  <c:v>332.89294439794719</c:v>
                </c:pt>
                <c:pt idx="27">
                  <c:v>339.31929828817522</c:v>
                </c:pt>
                <c:pt idx="28">
                  <c:v>326.77634957104311</c:v>
                </c:pt>
                <c:pt idx="29">
                  <c:v>347.66487651672486</c:v>
                </c:pt>
                <c:pt idx="30">
                  <c:v>379.99645084939613</c:v>
                </c:pt>
                <c:pt idx="31">
                  <c:v>349.48901574309986</c:v>
                </c:pt>
                <c:pt idx="32">
                  <c:v>382.41447926937252</c:v>
                </c:pt>
                <c:pt idx="33">
                  <c:v>338.28730489654663</c:v>
                </c:pt>
                <c:pt idx="34">
                  <c:v>371.68879667613476</c:v>
                </c:pt>
                <c:pt idx="35">
                  <c:v>382.88668261153578</c:v>
                </c:pt>
                <c:pt idx="36">
                  <c:v>369.37747665608759</c:v>
                </c:pt>
                <c:pt idx="37">
                  <c:v>380.76390682169665</c:v>
                </c:pt>
                <c:pt idx="38">
                  <c:v>405.14241563595687</c:v>
                </c:pt>
                <c:pt idx="39">
                  <c:v>456.33912224422545</c:v>
                </c:pt>
                <c:pt idx="40">
                  <c:v>484.06212148033268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EC46-49B5-81DC-7D3C57875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6269920"/>
        <c:axId val="1106265568"/>
      </c:lineChart>
      <c:catAx>
        <c:axId val="11062699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106265568"/>
        <c:crosses val="autoZero"/>
        <c:auto val="1"/>
        <c:lblAlgn val="ctr"/>
        <c:lblOffset val="100"/>
        <c:noMultiLvlLbl val="1"/>
      </c:catAx>
      <c:valAx>
        <c:axId val="11062655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Price</a:t>
                </a:r>
              </a:p>
            </c:rich>
          </c:tx>
          <c:layout/>
          <c:overlay val="0"/>
        </c:title>
        <c:numFmt formatCode="0.00" sourceLinked="1"/>
        <c:majorTickMark val="none"/>
        <c:minorTickMark val="none"/>
        <c:tickLblPos val="nextTo"/>
        <c:crossAx val="1106269920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11</xdr:row>
      <xdr:rowOff>47625</xdr:rowOff>
    </xdr:from>
    <xdr:to>
      <xdr:col>11</xdr:col>
      <xdr:colOff>361950</xdr:colOff>
      <xdr:row>30</xdr:row>
      <xdr:rowOff>161924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2</xdr:row>
          <xdr:rowOff>9525</xdr:rowOff>
        </xdr:from>
        <xdr:to>
          <xdr:col>6</xdr:col>
          <xdr:colOff>361950</xdr:colOff>
          <xdr:row>9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D1:V42"/>
  <sheetViews>
    <sheetView showGridLines="0" tabSelected="1" workbookViewId="0">
      <selection activeCell="K4" sqref="K4"/>
    </sheetView>
  </sheetViews>
  <sheetFormatPr defaultColWidth="8.85546875" defaultRowHeight="15" x14ac:dyDescent="0.25"/>
  <cols>
    <col min="5" max="5" width="11.85546875" customWidth="1"/>
    <col min="7" max="8" width="12" bestFit="1" customWidth="1"/>
    <col min="15" max="15" width="9.28515625" style="16" customWidth="1"/>
    <col min="16" max="19" width="9.28515625" style="17" customWidth="1"/>
  </cols>
  <sheetData>
    <row r="1" spans="4:22" s="12" customFormat="1" ht="26.25" x14ac:dyDescent="0.25">
      <c r="O1" s="14"/>
      <c r="P1" s="15" t="s">
        <v>31</v>
      </c>
      <c r="Q1" s="15" t="s">
        <v>25</v>
      </c>
      <c r="R1" s="15" t="s">
        <v>32</v>
      </c>
      <c r="S1" s="15" t="s">
        <v>26</v>
      </c>
      <c r="V1" s="13"/>
    </row>
    <row r="2" spans="4:22" x14ac:dyDescent="0.25">
      <c r="O2" s="16">
        <v>0</v>
      </c>
      <c r="P2" s="17">
        <v>100</v>
      </c>
      <c r="Q2" s="17">
        <v>100</v>
      </c>
      <c r="R2" s="17">
        <v>100</v>
      </c>
      <c r="S2" s="17">
        <v>100</v>
      </c>
      <c r="V2" s="11"/>
    </row>
    <row r="3" spans="4:22" x14ac:dyDescent="0.25">
      <c r="D3" s="6" t="s">
        <v>27</v>
      </c>
      <c r="E3" s="9">
        <v>10000</v>
      </c>
      <c r="O3" s="16">
        <v>0.25</v>
      </c>
      <c r="P3" s="17">
        <v>86.494581223263978</v>
      </c>
      <c r="Q3" s="17">
        <v>100.62596341846454</v>
      </c>
      <c r="R3" s="17">
        <v>116.63383518513857</v>
      </c>
      <c r="S3" s="17">
        <v>92.170569916699563</v>
      </c>
    </row>
    <row r="4" spans="4:22" x14ac:dyDescent="0.25">
      <c r="D4" s="6" t="s">
        <v>34</v>
      </c>
      <c r="E4" s="7">
        <v>10</v>
      </c>
      <c r="O4" s="16">
        <v>0.5</v>
      </c>
      <c r="P4" s="17">
        <v>82.212319370279133</v>
      </c>
      <c r="Q4" s="17">
        <v>101.1172853058598</v>
      </c>
      <c r="R4" s="17">
        <v>124.64835263615119</v>
      </c>
      <c r="S4" s="17">
        <v>92.518657994269034</v>
      </c>
    </row>
    <row r="5" spans="4:22" x14ac:dyDescent="0.25">
      <c r="D5" s="6" t="s">
        <v>28</v>
      </c>
      <c r="E5" s="7">
        <f>E4*4</f>
        <v>40</v>
      </c>
      <c r="O5" s="16">
        <v>0.75</v>
      </c>
      <c r="P5" s="17">
        <v>78.809601463771969</v>
      </c>
      <c r="Q5" s="17">
        <v>101.91434486442128</v>
      </c>
      <c r="R5" s="17">
        <v>131.98073550946722</v>
      </c>
      <c r="S5" s="17">
        <v>97.33671637750804</v>
      </c>
    </row>
    <row r="6" spans="4:22" x14ac:dyDescent="0.25">
      <c r="D6" s="6" t="s">
        <v>29</v>
      </c>
      <c r="E6" s="10">
        <v>4.2000000000000003E-2</v>
      </c>
      <c r="O6" s="16">
        <v>1</v>
      </c>
      <c r="P6" s="17">
        <v>76.480935430684482</v>
      </c>
      <c r="Q6" s="17">
        <v>102.44731671057659</v>
      </c>
      <c r="R6" s="17">
        <v>137.2749350675652</v>
      </c>
      <c r="S6" s="17">
        <v>118.68982633704975</v>
      </c>
    </row>
    <row r="7" spans="4:22" x14ac:dyDescent="0.25">
      <c r="D7" s="6" t="s">
        <v>30</v>
      </c>
      <c r="E7" s="10">
        <v>0.18</v>
      </c>
      <c r="H7" s="1"/>
      <c r="O7" s="16">
        <v>1.25</v>
      </c>
      <c r="P7" s="17">
        <v>73.90905519688701</v>
      </c>
      <c r="Q7" s="17">
        <v>103.07717426940127</v>
      </c>
      <c r="R7" s="17">
        <v>143.25834703728185</v>
      </c>
      <c r="S7" s="17">
        <v>124.20202033834175</v>
      </c>
    </row>
    <row r="8" spans="4:22" x14ac:dyDescent="0.25">
      <c r="D8" s="6" t="s">
        <v>33</v>
      </c>
      <c r="E8" s="7">
        <v>100</v>
      </c>
      <c r="O8" s="16">
        <v>1.5</v>
      </c>
      <c r="P8" s="17">
        <v>71.70288744379323</v>
      </c>
      <c r="Q8" s="17">
        <v>103.42195554278025</v>
      </c>
      <c r="R8" s="17">
        <v>149.08692322187034</v>
      </c>
      <c r="S8" s="17">
        <v>127.88305044394336</v>
      </c>
    </row>
    <row r="9" spans="4:22" x14ac:dyDescent="0.25">
      <c r="D9" s="8" t="s">
        <v>36</v>
      </c>
      <c r="E9" s="18" t="s">
        <v>37</v>
      </c>
      <c r="O9" s="16">
        <v>1.75</v>
      </c>
      <c r="P9" s="17">
        <v>70.204509532508112</v>
      </c>
      <c r="Q9" s="17">
        <v>104.16147686135949</v>
      </c>
      <c r="R9" s="17">
        <v>153.50944348525564</v>
      </c>
      <c r="S9" s="17">
        <v>145.85914410066107</v>
      </c>
    </row>
    <row r="10" spans="4:22" x14ac:dyDescent="0.25">
      <c r="D10" s="19" t="s">
        <v>38</v>
      </c>
      <c r="E10" s="20">
        <f>E3*E5</f>
        <v>400000</v>
      </c>
      <c r="O10" s="16">
        <v>2</v>
      </c>
      <c r="P10" s="17">
        <v>68.960668021063043</v>
      </c>
      <c r="Q10" s="17">
        <v>104.84917124422481</v>
      </c>
      <c r="R10" s="17">
        <v>159.62216246345915</v>
      </c>
      <c r="S10" s="17">
        <v>175.23402674329628</v>
      </c>
    </row>
    <row r="11" spans="4:22" x14ac:dyDescent="0.25">
      <c r="O11" s="16">
        <v>2.25</v>
      </c>
      <c r="P11" s="17">
        <v>67.402597238157298</v>
      </c>
      <c r="Q11" s="17">
        <v>105.32436109145829</v>
      </c>
      <c r="R11" s="17">
        <v>164.49480653590888</v>
      </c>
      <c r="S11" s="17">
        <v>178.69632621408928</v>
      </c>
    </row>
    <row r="12" spans="4:22" x14ac:dyDescent="0.25">
      <c r="O12" s="16">
        <v>2.5</v>
      </c>
      <c r="P12" s="17">
        <v>66.17108014974913</v>
      </c>
      <c r="Q12" s="17">
        <v>106.1262690348054</v>
      </c>
      <c r="R12" s="17">
        <v>169.64811752912735</v>
      </c>
      <c r="S12" s="17">
        <v>218.09800645080202</v>
      </c>
    </row>
    <row r="13" spans="4:22" x14ac:dyDescent="0.25">
      <c r="O13" s="16">
        <v>2.75</v>
      </c>
      <c r="P13" s="17">
        <v>64.60263839616978</v>
      </c>
      <c r="Q13" s="17">
        <v>107.10556277724987</v>
      </c>
      <c r="R13" s="17">
        <v>175.20107181491713</v>
      </c>
      <c r="S13" s="17">
        <v>231.22123216510482</v>
      </c>
    </row>
    <row r="14" spans="4:22" x14ac:dyDescent="0.25">
      <c r="O14" s="16">
        <v>3</v>
      </c>
      <c r="P14" s="17">
        <v>63.782578960572984</v>
      </c>
      <c r="Q14" s="17">
        <v>107.4527106048435</v>
      </c>
      <c r="R14" s="17">
        <v>180.31781160171283</v>
      </c>
      <c r="S14" s="17">
        <v>223.20084029425607</v>
      </c>
    </row>
    <row r="15" spans="4:22" x14ac:dyDescent="0.25">
      <c r="O15" s="16">
        <v>3.25</v>
      </c>
      <c r="P15" s="17">
        <v>62.865871200785399</v>
      </c>
      <c r="Q15" s="17">
        <v>108.13086591150254</v>
      </c>
      <c r="R15" s="17">
        <v>185.88776182586653</v>
      </c>
      <c r="S15" s="17">
        <v>213.31539802413511</v>
      </c>
    </row>
    <row r="16" spans="4:22" x14ac:dyDescent="0.25">
      <c r="O16" s="16">
        <v>3.5</v>
      </c>
      <c r="P16" s="17">
        <v>62.114524590675195</v>
      </c>
      <c r="Q16" s="17">
        <v>108.75687940317621</v>
      </c>
      <c r="R16" s="17">
        <v>191.337347388007</v>
      </c>
      <c r="S16" s="17">
        <v>207.12124308317311</v>
      </c>
    </row>
    <row r="17" spans="15:19" x14ac:dyDescent="0.25">
      <c r="O17" s="16">
        <v>3.75</v>
      </c>
      <c r="P17" s="17">
        <v>61.184010716439474</v>
      </c>
      <c r="Q17" s="17">
        <v>109.27994465972269</v>
      </c>
      <c r="R17" s="17">
        <v>196.22904347673941</v>
      </c>
      <c r="S17" s="17">
        <v>230.25984787718576</v>
      </c>
    </row>
    <row r="18" spans="15:19" x14ac:dyDescent="0.25">
      <c r="O18" s="16">
        <v>4</v>
      </c>
      <c r="P18" s="17">
        <v>60.459608678220235</v>
      </c>
      <c r="Q18" s="17">
        <v>109.56492537141179</v>
      </c>
      <c r="R18" s="17">
        <v>200.4432755472389</v>
      </c>
      <c r="S18" s="17">
        <v>234.33846113469295</v>
      </c>
    </row>
    <row r="19" spans="15:19" x14ac:dyDescent="0.25">
      <c r="O19" s="16">
        <v>4.25</v>
      </c>
      <c r="P19" s="17">
        <v>59.924767685814544</v>
      </c>
      <c r="Q19" s="17">
        <v>110.58563370365219</v>
      </c>
      <c r="R19" s="17">
        <v>205.48985315953504</v>
      </c>
      <c r="S19" s="17">
        <v>230.17928456944878</v>
      </c>
    </row>
    <row r="20" spans="15:19" x14ac:dyDescent="0.25">
      <c r="O20" s="16">
        <v>4.5</v>
      </c>
      <c r="P20" s="17">
        <v>59.114684659895076</v>
      </c>
      <c r="Q20" s="17">
        <v>111.28631367644238</v>
      </c>
      <c r="R20" s="17">
        <v>209.5661812092161</v>
      </c>
      <c r="S20" s="17">
        <v>225.88526130822979</v>
      </c>
    </row>
    <row r="21" spans="15:19" x14ac:dyDescent="0.25">
      <c r="O21" s="16">
        <v>4.75</v>
      </c>
      <c r="P21" s="17">
        <v>58.555945877270339</v>
      </c>
      <c r="Q21" s="17">
        <v>111.72000262124408</v>
      </c>
      <c r="R21" s="17">
        <v>214.96876824533064</v>
      </c>
      <c r="S21" s="17">
        <v>266.68851568734448</v>
      </c>
    </row>
    <row r="22" spans="15:19" x14ac:dyDescent="0.25">
      <c r="O22" s="16">
        <v>5</v>
      </c>
      <c r="P22" s="17">
        <v>58.429885628986746</v>
      </c>
      <c r="Q22" s="17">
        <v>112.56379916728028</v>
      </c>
      <c r="R22" s="17">
        <v>219.80511060257504</v>
      </c>
      <c r="S22" s="17">
        <v>279.4430631968462</v>
      </c>
    </row>
    <row r="23" spans="15:19" x14ac:dyDescent="0.25">
      <c r="O23" s="16">
        <v>5.25</v>
      </c>
      <c r="P23" s="17">
        <v>58.172713717212119</v>
      </c>
      <c r="Q23" s="17">
        <v>112.68608730026725</v>
      </c>
      <c r="R23" s="17">
        <v>224.99036833174881</v>
      </c>
      <c r="S23" s="17">
        <v>283.11140307461665</v>
      </c>
    </row>
    <row r="24" spans="15:19" x14ac:dyDescent="0.25">
      <c r="O24" s="16">
        <v>5.5</v>
      </c>
      <c r="P24" s="17">
        <v>57.520524232514617</v>
      </c>
      <c r="Q24" s="17">
        <v>114.12969697300178</v>
      </c>
      <c r="R24" s="17">
        <v>229.40896602853857</v>
      </c>
      <c r="S24" s="17">
        <v>275.3810565696607</v>
      </c>
    </row>
    <row r="25" spans="15:19" x14ac:dyDescent="0.25">
      <c r="O25" s="16">
        <v>5.75</v>
      </c>
      <c r="P25" s="17">
        <v>56.785946202588882</v>
      </c>
      <c r="Q25" s="17">
        <v>114.35126320517813</v>
      </c>
      <c r="R25" s="17">
        <v>235.49190438264444</v>
      </c>
      <c r="S25" s="17">
        <v>311.41352413901302</v>
      </c>
    </row>
    <row r="26" spans="15:19" x14ac:dyDescent="0.25">
      <c r="O26" s="16">
        <v>6</v>
      </c>
      <c r="P26" s="17">
        <v>56.015460583266957</v>
      </c>
      <c r="Q26" s="17">
        <v>115.00625065354473</v>
      </c>
      <c r="R26" s="17">
        <v>240.32242136985533</v>
      </c>
      <c r="S26" s="17">
        <v>300.96604097139789</v>
      </c>
    </row>
    <row r="27" spans="15:19" x14ac:dyDescent="0.25">
      <c r="O27" s="16">
        <v>6.25</v>
      </c>
      <c r="P27" s="17">
        <v>55.706874352283478</v>
      </c>
      <c r="Q27" s="17">
        <v>115.68792474313172</v>
      </c>
      <c r="R27" s="17">
        <v>247.26538005927489</v>
      </c>
      <c r="S27" s="17">
        <v>304.58892670715028</v>
      </c>
    </row>
    <row r="28" spans="15:19" x14ac:dyDescent="0.25">
      <c r="O28" s="16">
        <v>6.5</v>
      </c>
      <c r="P28" s="17">
        <v>55.053315076113378</v>
      </c>
      <c r="Q28" s="17">
        <v>116.41757003059035</v>
      </c>
      <c r="R28" s="17">
        <v>249.33230654122423</v>
      </c>
      <c r="S28" s="17">
        <v>332.89294439794719</v>
      </c>
    </row>
    <row r="29" spans="15:19" x14ac:dyDescent="0.25">
      <c r="O29" s="16">
        <v>6.75</v>
      </c>
      <c r="P29" s="17">
        <v>54.481916199201848</v>
      </c>
      <c r="Q29" s="17">
        <v>117.14568981588337</v>
      </c>
      <c r="R29" s="17">
        <v>256.80041056484305</v>
      </c>
      <c r="S29" s="17">
        <v>339.31929828817522</v>
      </c>
    </row>
    <row r="30" spans="15:19" x14ac:dyDescent="0.25">
      <c r="O30" s="16">
        <v>7</v>
      </c>
      <c r="P30" s="17">
        <v>54.050124940938296</v>
      </c>
      <c r="Q30" s="17">
        <v>117.95535081259069</v>
      </c>
      <c r="R30" s="17">
        <v>262.22332464973312</v>
      </c>
      <c r="S30" s="17">
        <v>326.77634957104311</v>
      </c>
    </row>
    <row r="31" spans="15:19" x14ac:dyDescent="0.25">
      <c r="O31" s="16">
        <v>7.25</v>
      </c>
      <c r="P31" s="17">
        <v>53.639315610523568</v>
      </c>
      <c r="Q31" s="17">
        <v>118.53102123938972</v>
      </c>
      <c r="R31" s="17">
        <v>268.12529115886781</v>
      </c>
      <c r="S31" s="17">
        <v>347.66487651672486</v>
      </c>
    </row>
    <row r="32" spans="15:19" x14ac:dyDescent="0.25">
      <c r="O32" s="16">
        <v>7.5</v>
      </c>
      <c r="P32" s="17">
        <v>52.475248157712009</v>
      </c>
      <c r="Q32" s="17">
        <v>119.64039751081542</v>
      </c>
      <c r="R32" s="17">
        <v>273.66019122466474</v>
      </c>
      <c r="S32" s="17">
        <v>379.99645084939613</v>
      </c>
    </row>
    <row r="33" spans="15:19" x14ac:dyDescent="0.25">
      <c r="O33" s="16">
        <v>7.75</v>
      </c>
      <c r="P33" s="17">
        <v>52.418451287195921</v>
      </c>
      <c r="Q33" s="17">
        <v>120.53478645470487</v>
      </c>
      <c r="R33" s="17">
        <v>280.90637116550425</v>
      </c>
      <c r="S33" s="17">
        <v>349.48901574309986</v>
      </c>
    </row>
    <row r="34" spans="15:19" x14ac:dyDescent="0.25">
      <c r="O34" s="16">
        <v>8</v>
      </c>
      <c r="P34" s="17">
        <v>52.243603545022744</v>
      </c>
      <c r="Q34" s="17">
        <v>121.51695242779843</v>
      </c>
      <c r="R34" s="17">
        <v>287.92886046729512</v>
      </c>
      <c r="S34" s="17">
        <v>382.41447926937252</v>
      </c>
    </row>
    <row r="35" spans="15:19" x14ac:dyDescent="0.25">
      <c r="O35" s="16">
        <v>8.25</v>
      </c>
      <c r="P35" s="17">
        <v>52.056784190076769</v>
      </c>
      <c r="Q35" s="17">
        <v>122.2791925757821</v>
      </c>
      <c r="R35" s="17">
        <v>291.15443486776343</v>
      </c>
      <c r="S35" s="17">
        <v>338.28730489654663</v>
      </c>
    </row>
    <row r="36" spans="15:19" x14ac:dyDescent="0.25">
      <c r="O36" s="16">
        <v>8.5</v>
      </c>
      <c r="P36" s="17">
        <v>51.389384983528451</v>
      </c>
      <c r="Q36" s="17">
        <v>122.95947764856763</v>
      </c>
      <c r="R36" s="17">
        <v>297.14552931863693</v>
      </c>
      <c r="S36" s="17">
        <v>371.68879667613476</v>
      </c>
    </row>
    <row r="37" spans="15:19" x14ac:dyDescent="0.25">
      <c r="O37" s="16">
        <v>8.75</v>
      </c>
      <c r="P37" s="17">
        <v>51.071645477421313</v>
      </c>
      <c r="Q37" s="17">
        <v>123.66938640815829</v>
      </c>
      <c r="R37" s="17">
        <v>301.13527869945267</v>
      </c>
      <c r="S37" s="17">
        <v>382.88668261153578</v>
      </c>
    </row>
    <row r="38" spans="15:19" x14ac:dyDescent="0.25">
      <c r="O38" s="16">
        <v>9</v>
      </c>
      <c r="P38" s="17">
        <v>50.718530005700956</v>
      </c>
      <c r="Q38" s="17">
        <v>124.6628309606682</v>
      </c>
      <c r="R38" s="17">
        <v>304.87532529569592</v>
      </c>
      <c r="S38" s="17">
        <v>369.37747665608759</v>
      </c>
    </row>
    <row r="39" spans="15:19" x14ac:dyDescent="0.25">
      <c r="O39" s="16">
        <v>9.25</v>
      </c>
      <c r="P39" s="17">
        <v>50.902255543314602</v>
      </c>
      <c r="Q39" s="17">
        <v>125.0835986978646</v>
      </c>
      <c r="R39" s="17">
        <v>307.58076673960772</v>
      </c>
      <c r="S39" s="17">
        <v>380.76390682169665</v>
      </c>
    </row>
    <row r="40" spans="15:19" x14ac:dyDescent="0.25">
      <c r="O40" s="16">
        <v>9.5</v>
      </c>
      <c r="P40" s="17">
        <v>50.159489995829361</v>
      </c>
      <c r="Q40" s="17">
        <v>126.20241756382617</v>
      </c>
      <c r="R40" s="17">
        <v>318.04947713227131</v>
      </c>
      <c r="S40" s="17">
        <v>405.14241563595687</v>
      </c>
    </row>
    <row r="41" spans="15:19" x14ac:dyDescent="0.25">
      <c r="O41" s="16">
        <v>9.75</v>
      </c>
      <c r="P41" s="17">
        <v>50.065482198427461</v>
      </c>
      <c r="Q41" s="17">
        <v>126.6470218473812</v>
      </c>
      <c r="R41" s="17">
        <v>321.25369600523123</v>
      </c>
      <c r="S41" s="17">
        <v>456.33912224422545</v>
      </c>
    </row>
    <row r="42" spans="15:19" x14ac:dyDescent="0.25">
      <c r="O42" s="16">
        <v>10</v>
      </c>
      <c r="P42" s="17">
        <v>49.87912685666771</v>
      </c>
      <c r="Q42" s="17">
        <v>127.17385385240182</v>
      </c>
      <c r="R42" s="17">
        <v>327.99478928272634</v>
      </c>
      <c r="S42" s="17">
        <v>484.06212148033268</v>
      </c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imulationLite">
                <anchor moveWithCells="1" sizeWithCells="1">
                  <from>
                    <xdr:col>5</xdr:col>
                    <xdr:colOff>123825</xdr:colOff>
                    <xdr:row>2</xdr:row>
                    <xdr:rowOff>9525</xdr:rowOff>
                  </from>
                  <to>
                    <xdr:col>6</xdr:col>
                    <xdr:colOff>361950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38"/>
  <sheetViews>
    <sheetView showGridLines="0" workbookViewId="0"/>
  </sheetViews>
  <sheetFormatPr defaultColWidth="8.85546875" defaultRowHeight="12.75" x14ac:dyDescent="0.2"/>
  <cols>
    <col min="1" max="16384" width="8.85546875" style="5"/>
  </cols>
  <sheetData>
    <row r="1" spans="1:1" x14ac:dyDescent="0.2">
      <c r="A1" s="2" t="s">
        <v>39</v>
      </c>
    </row>
    <row r="2" spans="1:1" x14ac:dyDescent="0.2">
      <c r="A2" s="2" t="s">
        <v>0</v>
      </c>
    </row>
    <row r="3" spans="1:1" x14ac:dyDescent="0.2">
      <c r="A3" s="2"/>
    </row>
    <row r="4" spans="1:1" x14ac:dyDescent="0.2">
      <c r="A4" s="2" t="s">
        <v>40</v>
      </c>
    </row>
    <row r="5" spans="1:1" x14ac:dyDescent="0.2">
      <c r="A5" s="3"/>
    </row>
    <row r="6" spans="1:1" x14ac:dyDescent="0.2">
      <c r="A6" s="2" t="s">
        <v>5</v>
      </c>
    </row>
    <row r="7" spans="1:1" x14ac:dyDescent="0.2">
      <c r="A7" s="2" t="s">
        <v>6</v>
      </c>
    </row>
    <row r="8" spans="1:1" x14ac:dyDescent="0.2">
      <c r="A8" s="2"/>
    </row>
    <row r="9" spans="1:1" x14ac:dyDescent="0.2">
      <c r="A9" s="2" t="s">
        <v>7</v>
      </c>
    </row>
    <row r="10" spans="1:1" x14ac:dyDescent="0.2">
      <c r="A10" s="2" t="s">
        <v>8</v>
      </c>
    </row>
    <row r="11" spans="1:1" x14ac:dyDescent="0.2">
      <c r="A11" s="2"/>
    </row>
    <row r="12" spans="1:1" x14ac:dyDescent="0.2">
      <c r="A12" s="2" t="s">
        <v>9</v>
      </c>
    </row>
    <row r="13" spans="1:1" x14ac:dyDescent="0.2">
      <c r="A13" s="2" t="s">
        <v>10</v>
      </c>
    </row>
    <row r="14" spans="1:1" x14ac:dyDescent="0.2">
      <c r="A14" s="2" t="s">
        <v>11</v>
      </c>
    </row>
    <row r="15" spans="1:1" x14ac:dyDescent="0.2">
      <c r="A15" s="2"/>
    </row>
    <row r="16" spans="1:1" x14ac:dyDescent="0.2">
      <c r="A16" s="2" t="s">
        <v>12</v>
      </c>
    </row>
    <row r="17" spans="1:1" x14ac:dyDescent="0.2">
      <c r="A17" s="2" t="s">
        <v>13</v>
      </c>
    </row>
    <row r="18" spans="1:1" x14ac:dyDescent="0.2">
      <c r="A18" s="4" t="s">
        <v>14</v>
      </c>
    </row>
    <row r="20" spans="1:1" x14ac:dyDescent="0.2">
      <c r="A20" s="5" t="s">
        <v>15</v>
      </c>
    </row>
    <row r="21" spans="1:1" x14ac:dyDescent="0.2">
      <c r="A21" s="5" t="s">
        <v>16</v>
      </c>
    </row>
    <row r="22" spans="1:1" x14ac:dyDescent="0.2">
      <c r="A22" s="5" t="s">
        <v>17</v>
      </c>
    </row>
    <row r="23" spans="1:1" x14ac:dyDescent="0.2">
      <c r="A23" s="5" t="s">
        <v>18</v>
      </c>
    </row>
    <row r="24" spans="1:1" x14ac:dyDescent="0.2">
      <c r="A24" s="5" t="s">
        <v>19</v>
      </c>
    </row>
    <row r="25" spans="1:1" x14ac:dyDescent="0.2">
      <c r="A25" s="5" t="s">
        <v>20</v>
      </c>
    </row>
    <row r="26" spans="1:1" x14ac:dyDescent="0.2">
      <c r="A26" s="2" t="s">
        <v>21</v>
      </c>
    </row>
    <row r="27" spans="1:1" x14ac:dyDescent="0.2">
      <c r="A27" s="5" t="s">
        <v>22</v>
      </c>
    </row>
    <row r="28" spans="1:1" x14ac:dyDescent="0.2">
      <c r="A28" s="5" t="s">
        <v>23</v>
      </c>
    </row>
    <row r="29" spans="1:1" x14ac:dyDescent="0.2">
      <c r="A29" s="5" t="s">
        <v>24</v>
      </c>
    </row>
    <row r="32" spans="1:1" x14ac:dyDescent="0.2">
      <c r="A32" s="2" t="s">
        <v>1</v>
      </c>
    </row>
    <row r="33" spans="1:1" x14ac:dyDescent="0.2">
      <c r="A33" s="2"/>
    </row>
    <row r="34" spans="1:1" x14ac:dyDescent="0.2">
      <c r="A34" s="2" t="s">
        <v>2</v>
      </c>
    </row>
    <row r="35" spans="1:1" x14ac:dyDescent="0.2">
      <c r="A35" s="5" t="s">
        <v>35</v>
      </c>
    </row>
    <row r="36" spans="1:1" x14ac:dyDescent="0.2">
      <c r="A36" s="2" t="s">
        <v>3</v>
      </c>
    </row>
    <row r="38" spans="1:1" x14ac:dyDescent="0.2">
      <c r="A38" s="2" t="s">
        <v>4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Simulation</vt:lpstr>
      <vt:lpstr>LICENSE</vt:lpstr>
      <vt:lpstr>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조승현이나래CoolFam</cp:lastModifiedBy>
  <dcterms:created xsi:type="dcterms:W3CDTF">2013-12-13T17:46:19Z</dcterms:created>
  <dcterms:modified xsi:type="dcterms:W3CDTF">2019-04-16T13:56:22Z</dcterms:modified>
</cp:coreProperties>
</file>